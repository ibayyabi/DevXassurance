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04c0c649a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Summary" sheetId="1" r:id="R79e8f7854b9440b9"/>
    <x:sheet xmlns:r="http://schemas.openxmlformats.org/officeDocument/2006/relationships" name="Cost Details" sheetId="2" r:id="R61f020f1ddf8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;[Red](&quot;$&quot;#,##0);-"/>
    <x:numFmt numFmtId="201" formatCode="0.0%"/>
  </x:numFmts>
  <x:fonts count="6">
    <x:font>
      <x:sz val="11"/>
      <x:name val="Carlito"/>
    </x:font>
    <x:font>
      <x:b/>
      <x:sz val="20"/>
      <x:color rgb="FF0F172A"/>
      <x:name val="Carlito"/>
    </x:font>
    <x:font>
      <x:b/>
      <x:sz val="12"/>
      <x:color rgb="FF1D4ED8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</x:fills>
  <x:borders count="5">
    <x:border/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double">
        <x:color rgb="FF1D4ED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200" fontId="4" fillId="2" borderId="2" xfId="0" applyNumberFormat="1" applyFont="1" applyFill="1" applyBorder="1" applyAlignment="1">
      <x:alignment vertical="center" wrapText="1"/>
    </x:xf>
    <x:xf numFmtId="200" fontId="5" fillId="4" borderId="4" xfId="0" applyNumberFormat="1" applyFont="1" applyFill="1" applyBorder="1" applyAlignment="1">
      <x:alignment vertical="center" wrapText="1"/>
    </x:xf>
    <x:xf numFmtId="201" fontId="4" fillId="2" borderId="2" xfId="0" applyNumberFormat="1" applyFont="1" applyFill="1" applyBorder="1" applyAlignment="1">
      <x:alignment vertical="center" wrapText="1"/>
    </x:xf>
    <x:xf numFmtId="201" fontId="4" fillId="2" borderId="3" xfId="0" applyNumberFormat="1" applyFont="1" applyFill="1" applyBorder="1" applyAlignment="1">
      <x:alignment vertical="center" wrapText="1"/>
    </x:xf>
    <x:xf numFmtId="201" fontId="5" fillId="4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1cb74ebb84395" /><Relationship Type="http://schemas.openxmlformats.org/officeDocument/2006/relationships/theme" Target="/xl/theme/theme1.xml" Id="R8aedf9dc2343477b" /><Relationship Type="http://schemas.openxmlformats.org/officeDocument/2006/relationships/sharedStrings" Target="/xl/sharedStrings.xml" Id="Rac636dbade554fee" /><Relationship Type="http://schemas.openxmlformats.org/officeDocument/2006/relationships/worksheet" Target="/xl/worksheets/sheet1.xml" Id="R79e8f7854b9440b9" /><Relationship Type="http://schemas.openxmlformats.org/officeDocument/2006/relationships/worksheet" Target="/xl/worksheets/sheet2.xml" Id="R61f020f1ddf8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3" hidden="0" customWidth="1"/>
    <x:col min="4" max="4" width="19" hidden="0" customWidth="1"/>
    <x:col min="5" max="5" width="34" hidden="0" customWidth="1"/>
    <x:col min="6" max="6" width="48" hidden="0" customWidth="1"/>
  </x:cols>
  <x:sheetData>
    <x:row r="1" ht="24" hidden="0" customHeight="1">
      <x:c r="A1" s="19" t="str">
        <x:v>Cost Forecast Report</x:v>
      </x:c>
      <x:c r="B1" s="19"/>
      <x:c r="C1" s="19"/>
      <x:c r="D1" s="19"/>
      <x:c r="E1" s="19"/>
      <x:c r="F1" s="19"/>
    </x:row>
    <x:row r="2" ht="15" hidden="0" customHeight="1">
      <x:c r="A2" s="20" t="str">
        <x:v>Orion ERP Recovery</x:v>
      </x:c>
      <x:c r="B2" s="20"/>
      <x:c r="C2" s="20"/>
      <x:c r="D2" s="20"/>
      <x:c r="E2" s="20"/>
      <x:c r="F2" s="20"/>
    </x:row>
    <x:row r="3" ht="15" hidden="0" customHeight="1">
      <x:c r="A3" s="21"/>
      <x:c r="B3" s="21"/>
      <x:c r="C3" s="21"/>
      <x:c r="D3" s="21"/>
      <x:c r="E3" s="21"/>
      <x:c r="F3" s="21"/>
    </x:row>
    <x:row r="4" ht="15" hidden="0" customHeight="1">
      <x:c r="A4" s="10" t="str">
        <x:v>Field</x:v>
      </x:c>
      <x:c r="B4" s="10" t="str">
        <x:v>Value</x:v>
      </x:c>
      <x:c r="C4" s="21"/>
      <x:c r="D4" s="10" t="str">
        <x:v>Condition</x:v>
      </x:c>
      <x:c r="E4" s="10" t="str">
        <x:v>Rule</x:v>
      </x:c>
      <x:c r="F4" s="10" t="str">
        <x:v>Evidence note</x:v>
      </x:c>
    </x:row>
    <x:row r="5" ht="39.599998474121094" hidden="0" customHeight="1">
      <x:c r="A5" s="16" t="str">
        <x:v>Reporting period</x:v>
      </x:c>
      <x:c r="B5" s="16" t="str">
        <x:v>June 2026</x:v>
      </x:c>
      <x:c r="C5" s="21"/>
      <x:c r="D5" s="16" t="str">
        <x:v>critical</x:v>
      </x:c>
      <x:c r="E5" s="16" t="str">
        <x:v>Critical only when forecast variance is above 5%</x:v>
      </x:c>
      <x:c r="F5" s="16" t="str">
        <x:v>Immediate management escalation is required. Forecast cost is 8.0 percent above baseline, go-live is twenty-one days late, and an open critical migration risk has no owner.</x:v>
      </x:c>
    </x:row>
    <x:row r="6" ht="15" hidden="0" customHeight="1">
      <x:c r="A6" s="17" t="str">
        <x:v>Approved baseline budget</x:v>
      </x:c>
      <x:c r="B6" s="18" t="n">
        <x:v>900000</x:v>
      </x:c>
      <x:c r="C6" s="21"/>
      <x:c r="D6" s="17" t="str">
        <x:v>Currency</x:v>
      </x:c>
      <x:c r="E6" s="17" t="str">
        <x:v>USD</x:v>
      </x:c>
      <x:c r="F6" s="17" t="str">
        <x:v>Values are forecast-at-completion evidence</x:v>
      </x:c>
    </x:row>
    <x:row r="7" ht="15" hidden="0" customHeight="1">
      <x:c r="A7" s="17" t="str">
        <x:v>Current forecast at completion</x:v>
      </x:c>
      <x:c r="B7" s="18" t="n">
        <x:v>972000</x:v>
      </x:c>
      <x:c r="C7" s="21"/>
      <x:c r="D7" s="17" t="str">
        <x:v>Source</x:v>
      </x:c>
      <x:c r="E7" s="17" t="str">
        <x:v>Cost report</x:v>
      </x:c>
      <x:c r="F7" s="17" t="str">
        <x:v>Use with the approved baseline document</x:v>
      </x:c>
    </x:row>
    <x:row r="8" ht="15" hidden="0" customHeight="1">
      <x:c r="A8" s="17" t="str">
        <x:v>Current actual cost</x:v>
      </x:c>
      <x:c r="B8" s="18" t="n">
        <x:v>720000</x:v>
      </x:c>
      <x:c r="C8" s="21"/>
      <x:c r="D8" s="21"/>
      <x:c r="E8" s="21"/>
      <x:c r="F8" s="21"/>
    </x:row>
    <x:row r="9" ht="15" hidden="0" customHeight="1">
      <x:c r="A9" s="17" t="str">
        <x:v>Forecast variance</x:v>
      </x:c>
      <x:c r="B9" s="18" t="n">
        <x:f>B7-B6</x:f>
        <x:v>72000</x:v>
      </x:c>
      <x:c r="C9" s="21"/>
      <x:c r="D9" s="21"/>
      <x:c r="E9" s="21"/>
      <x:c r="F9" s="21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42" hidden="0" customWidth="1"/>
  </x:cols>
  <x:sheetData>
    <x:row r="1" ht="24" hidden="0" customHeight="1">
      <x:c r="A1" s="19" t="str">
        <x:v>Orion ERP Recovery | June 2026</x:v>
      </x:c>
      <x:c r="B1" s="19"/>
      <x:c r="C1" s="19"/>
      <x:c r="D1" s="19"/>
      <x:c r="E1" s="19"/>
      <x:c r="F1" s="19"/>
      <x:c r="G1" s="19"/>
      <x:c r="H1" s="19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10" t="str">
        <x:v>Cost item</x:v>
      </x:c>
      <x:c r="B3" s="10" t="str">
        <x:v>Planned cost USD</x:v>
      </x:c>
      <x:c r="C3" s="10" t="str">
        <x:v>Actual cost USD</x:v>
      </x:c>
      <x:c r="D3" s="10" t="str">
        <x:v>Forecast cost USD</x:v>
      </x:c>
      <x:c r="E3" s="10" t="str">
        <x:v>Forecast variance USD</x:v>
      </x:c>
      <x:c r="F3" s="10" t="str">
        <x:v>Variance %</x:v>
      </x:c>
      <x:c r="G3" s="10" t="str">
        <x:v>Status</x:v>
      </x:c>
      <x:c r="H3" s="10" t="str">
        <x:v>Evidence note</x:v>
      </x:c>
    </x:row>
    <x:row r="4" ht="15" hidden="0" customHeight="1">
      <x:c r="A4" s="16" t="str">
        <x:v>Recovery PMO and controls</x:v>
      </x:c>
      <x:c r="B4" s="25" t="n">
        <x:v>130000</x:v>
      </x:c>
      <x:c r="C4" s="25" t="n">
        <x:v>112000</x:v>
      </x:c>
      <x:c r="D4" s="25" t="n">
        <x:v>140000</x:v>
      </x:c>
      <x:c r="E4" s="25" t="n">
        <x:f>D4-B4</x:f>
        <x:v>10000</x:v>
      </x:c>
      <x:c r="F4" s="27" t="n">
        <x:f>IF(B4=0,0,E4/B4)</x:f>
        <x:v>0.07692307692307693</x:v>
      </x:c>
      <x:c r="G4" s="16" t="str">
        <x:v>Over Baseline</x:v>
      </x:c>
      <x:c r="H4" s="16" t="str">
        <x:v>Extended governance cycle</x:v>
      </x:c>
    </x:row>
    <x:row r="5" ht="15" hidden="0" customHeight="1">
      <x:c r="A5" s="17" t="str">
        <x:v>Data migration remediation</x:v>
      </x:c>
      <x:c r="B5" s="18" t="n">
        <x:v>280000</x:v>
      </x:c>
      <x:c r="C5" s="18" t="n">
        <x:v>265000</x:v>
      </x:c>
      <x:c r="D5" s="18" t="n">
        <x:v>330000</x:v>
      </x:c>
      <x:c r="E5" s="18" t="n">
        <x:f>D5-B5</x:f>
        <x:v>50000</x:v>
      </x:c>
      <x:c r="F5" s="28" t="n">
        <x:f>IF(B5=0,0,E5/B5)</x:f>
        <x:v>0.17857142857142858</x:v>
      </x:c>
      <x:c r="G5" s="17" t="str">
        <x:v>Over Baseline</x:v>
      </x:c>
      <x:c r="H5" s="17" t="str">
        <x:v>Repeated reconciliation failures</x:v>
      </x:c>
    </x:row>
    <x:row r="6" ht="15" hidden="0" customHeight="1">
      <x:c r="A6" s="17" t="str">
        <x:v>Vendor defect triage</x:v>
      </x:c>
      <x:c r="B6" s="18" t="n">
        <x:v>210000</x:v>
      </x:c>
      <x:c r="C6" s="18" t="n">
        <x:v>196000</x:v>
      </x:c>
      <x:c r="D6" s="18" t="n">
        <x:v>240000</x:v>
      </x:c>
      <x:c r="E6" s="18" t="n">
        <x:f>D6-B6</x:f>
        <x:v>30000</x:v>
      </x:c>
      <x:c r="F6" s="28" t="n">
        <x:f>IF(B6=0,0,E6/B6)</x:f>
        <x:v>0.14285714285714285</x:v>
      </x:c>
      <x:c r="G6" s="17" t="str">
        <x:v>Over Baseline</x:v>
      </x:c>
      <x:c r="H6" s="17" t="str">
        <x:v>Additional vendor sprint required</x:v>
      </x:c>
    </x:row>
    <x:row r="7" ht="15" hidden="0" customHeight="1">
      <x:c r="A7" s="17" t="str">
        <x:v>Cutover rehearsal</x:v>
      </x:c>
      <x:c r="B7" s="18" t="n">
        <x:v>180000</x:v>
      </x:c>
      <x:c r="C7" s="18" t="n">
        <x:v>68000</x:v>
      </x:c>
      <x:c r="D7" s="18" t="n">
        <x:v>200000</x:v>
      </x:c>
      <x:c r="E7" s="18" t="n">
        <x:f>D7-B7</x:f>
        <x:v>20000</x:v>
      </x:c>
      <x:c r="F7" s="28" t="n">
        <x:f>IF(B7=0,0,E7/B7)</x:f>
        <x:v>0.1111111111111111</x:v>
      </x:c>
      <x:c r="G7" s="17" t="str">
        <x:v>At Risk</x:v>
      </x:c>
      <x:c r="H7" s="17" t="str">
        <x:v>Rehearsal delay requires a repeat cycle</x:v>
      </x:c>
    </x:row>
    <x:row r="8" ht="15" hidden="0" customHeight="1">
      <x:c r="A8" s="17" t="str">
        <x:v>Contingency</x:v>
      </x:c>
      <x:c r="B8" s="18" t="n">
        <x:v>100000</x:v>
      </x:c>
      <x:c r="C8" s="18" t="n">
        <x:v>79000</x:v>
      </x:c>
      <x:c r="D8" s="18" t="n">
        <x:v>62000</x:v>
      </x:c>
      <x:c r="E8" s="18" t="n">
        <x:f>D8-B8</x:f>
        <x:v>-38000</x:v>
      </x:c>
      <x:c r="F8" s="28" t="n">
        <x:f>IF(B8=0,0,E8/B8)</x:f>
        <x:v>-0.38</x:v>
      </x:c>
      <x:c r="G8" s="17" t="str">
        <x:v>Depleted</x:v>
      </x:c>
      <x:c r="H8" s="17" t="str">
        <x:v>Most contingency is committed</x:v>
      </x:c>
    </x:row>
    <x:row r="9" ht="15" hidden="0" customHeight="1">
      <x:c r="A9" s="24" t="str">
        <x:v>Total</x:v>
      </x:c>
      <x:c r="B9" s="26" t="n">
        <x:f>SUM(B4:B8)</x:f>
        <x:v>900000</x:v>
      </x:c>
      <x:c r="C9" s="26" t="n">
        <x:f>SUM(C4:C8)</x:f>
        <x:v>720000</x:v>
      </x:c>
      <x:c r="D9" s="26" t="n">
        <x:f>SUM(D4:D8)</x:f>
        <x:v>972000</x:v>
      </x:c>
      <x:c r="E9" s="26" t="n">
        <x:f>SUM(E4:E8)</x:f>
        <x:v>72000</x:v>
      </x:c>
      <x:c r="F9" s="29" t="n">
        <x:f>IF(B9=0,0,E9/B9)</x:f>
        <x:v>0.08</x:v>
      </x:c>
      <x:c r="G9" s="24" t="str"/>
      <x:c r="H9" s="24" t="str"/>
    </x:row>
  </x:sheetData>
  <x:mergeCells>
    <x:mergeCell ref="A1:H1"/>
  </x:mergeCells>
  <x:pageMargins left="0.7" right="0.7" top="0.75" bottom="0.75" header="0.3" footer="0.3"/>
</x:worksheet>
</file>