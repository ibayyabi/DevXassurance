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Report" sheetId="1" state="visible" r:id="rId1"/>
    <sheet xmlns:r="http://schemas.openxmlformats.org/officeDocument/2006/relationships" name="Projec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18" customWidth="1" min="3" max="3"/>
    <col width="20" customWidth="1" min="4" max="4"/>
    <col width="24" customWidth="1" min="5" max="5"/>
    <col width="13" customWidth="1" min="6" max="6"/>
    <col width="12" customWidth="1" min="7" max="7"/>
    <col width="42" customWidth="1" min="8" max="8"/>
  </cols>
  <sheetData>
    <row r="1">
      <c r="A1" s="1" t="inlineStr">
        <is>
          <t>Cost Item</t>
        </is>
      </c>
      <c r="B1" s="1" t="inlineStr">
        <is>
          <t>Planned Cost USD</t>
        </is>
      </c>
      <c r="C1" s="1" t="inlineStr">
        <is>
          <t>Actual Cost USD</t>
        </is>
      </c>
      <c r="D1" s="1" t="inlineStr">
        <is>
          <t>Forecast Cost USD</t>
        </is>
      </c>
      <c r="E1" s="1" t="inlineStr">
        <is>
          <t>Forecast Variance USD</t>
        </is>
      </c>
      <c r="F1" s="1" t="inlineStr">
        <is>
          <t>Variance %</t>
        </is>
      </c>
      <c r="G1" s="1" t="inlineStr">
        <is>
          <t>Status</t>
        </is>
      </c>
      <c r="H1" s="1" t="inlineStr">
        <is>
          <t>Evidence Note</t>
        </is>
      </c>
    </row>
    <row r="2">
      <c r="A2" s="2" t="inlineStr">
        <is>
          <t>Energy audit and design</t>
        </is>
      </c>
      <c r="B2" s="3" t="n">
        <v>520000</v>
      </c>
      <c r="C2" s="3" t="n">
        <v>510000</v>
      </c>
      <c r="D2" s="3" t="n">
        <v>540000</v>
      </c>
      <c r="E2" s="3">
        <f>D2-B2</f>
        <v/>
      </c>
      <c r="F2" s="4">
        <f>E2/B2</f>
        <v/>
      </c>
      <c r="G2" s="2" t="inlineStr">
        <is>
          <t>Monitor</t>
        </is>
      </c>
      <c r="H2" s="2" t="inlineStr">
        <is>
          <t>Minor consulting extension</t>
        </is>
      </c>
    </row>
    <row r="3">
      <c r="A3" s="2" t="inlineStr">
        <is>
          <t>Smart meter procurement</t>
        </is>
      </c>
      <c r="B3" s="3" t="n">
        <v>1850000</v>
      </c>
      <c r="C3" s="3" t="n">
        <v>1320000</v>
      </c>
      <c r="D3" s="3" t="n">
        <v>1910000</v>
      </c>
      <c r="E3" s="3">
        <f>D3-B3</f>
        <v/>
      </c>
      <c r="F3" s="4">
        <f>E3/B3</f>
        <v/>
      </c>
      <c r="G3" s="2" t="inlineStr">
        <is>
          <t>At Risk</t>
        </is>
      </c>
      <c r="H3" s="2" t="inlineStr">
        <is>
          <t>Supplier price adjustment</t>
        </is>
      </c>
    </row>
    <row r="4">
      <c r="A4" s="2" t="inlineStr">
        <is>
          <t>Installation works</t>
        </is>
      </c>
      <c r="B4" s="3" t="n">
        <v>1400000</v>
      </c>
      <c r="C4" s="3" t="n">
        <v>610000</v>
      </c>
      <c r="D4" s="3" t="n">
        <v>1540000</v>
      </c>
      <c r="E4" s="3">
        <f>D4-B4</f>
        <v/>
      </c>
      <c r="F4" s="4">
        <f>E4/B4</f>
        <v/>
      </c>
      <c r="G4" s="2" t="inlineStr">
        <is>
          <t>At Risk</t>
        </is>
      </c>
      <c r="H4" s="2" t="inlineStr">
        <is>
          <t>Night shift work may increase labor cost</t>
        </is>
      </c>
    </row>
    <row r="5">
      <c r="A5" s="2" t="inlineStr">
        <is>
          <t>Dashboard integration</t>
        </is>
      </c>
      <c r="B5" s="3" t="n">
        <v>380000</v>
      </c>
      <c r="C5" s="3" t="n">
        <v>90000</v>
      </c>
      <c r="D5" s="3" t="n">
        <v>390000</v>
      </c>
      <c r="E5" s="3">
        <f>D5-B5</f>
        <v/>
      </c>
      <c r="F5" s="4">
        <f>E5/B5</f>
        <v/>
      </c>
      <c r="G5" s="2" t="inlineStr">
        <is>
          <t>Normal</t>
        </is>
      </c>
      <c r="H5" s="2" t="inlineStr">
        <is>
          <t>No major variance</t>
        </is>
      </c>
    </row>
    <row r="6">
      <c r="A6" s="2" t="inlineStr">
        <is>
          <t>Contingency</t>
        </is>
      </c>
      <c r="B6" s="3" t="n">
        <v>150000</v>
      </c>
      <c r="C6" s="3" t="n">
        <v>0</v>
      </c>
      <c r="D6" s="3" t="n">
        <v>170000</v>
      </c>
      <c r="E6" s="3">
        <f>D6-B6</f>
        <v/>
      </c>
      <c r="F6" s="4">
        <f>E6/B6</f>
        <v/>
      </c>
      <c r="G6" s="2" t="inlineStr">
        <is>
          <t>At Risk</t>
        </is>
      </c>
      <c r="H6" s="2" t="inlineStr">
        <is>
          <t>Contingency may be exceeded</t>
        </is>
      </c>
    </row>
    <row r="7">
      <c r="A7" s="2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4">
        <f>E7/B7</f>
        <v/>
      </c>
      <c r="G7" s="2" t="inlineStr"/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Alpha Infrastructure Program</t>
        </is>
      </c>
    </row>
    <row r="3">
      <c r="A3" s="2" t="inlineStr">
        <is>
          <t>Reporting Period</t>
        </is>
      </c>
      <c r="B3" s="2" t="inlineStr">
        <is>
          <t>May 2026</t>
        </is>
      </c>
    </row>
    <row r="4">
      <c r="A4" s="2" t="inlineStr">
        <is>
          <t>Approved Baseline Budget USD</t>
        </is>
      </c>
      <c r="B4" s="2" t="n">
        <v>4300000</v>
      </c>
    </row>
    <row r="5">
      <c r="A5" s="2" t="inlineStr">
        <is>
          <t>Total Forecast Budget USD</t>
        </is>
      </c>
      <c r="B5" s="2" t="n">
        <v>4550000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2026-06-24T06:37:34Z</dcterms:created>
  <dcterms:modified xmlns:dcterms="http://purl.org/dc/terms/" xmlns:xsi="http://www.w3.org/2001/XMLSchema-instance" xsi:type="dcterms:W3CDTF">2026-06-24T06:37:34Z</dcterms:modified>
</cp:coreProperties>
</file>