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e495bb2d3c47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st Summary" sheetId="1" r:id="Ra46e40f44c9d4823"/>
    <x:sheet xmlns:r="http://schemas.openxmlformats.org/officeDocument/2006/relationships" name="Cost Details" sheetId="2" r:id="R86e6d322123e47e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&quot;$&quot;#,##0;[Red](&quot;$&quot;#,##0);-"/>
    <x:numFmt numFmtId="201" formatCode="0.0%"/>
  </x:numFmts>
  <x:fonts count="6">
    <x:font>
      <x:sz val="11"/>
      <x:name val="Carlito"/>
    </x:font>
    <x:font>
      <x:b/>
      <x:sz val="20"/>
      <x:color rgb="FF0F172A"/>
      <x:name val="Carlito"/>
    </x:font>
    <x:font>
      <x:b/>
      <x:sz val="12"/>
      <x:color rgb="FF1D4ED8"/>
      <x:name val="Carlito"/>
    </x:font>
    <x:font>
      <x:b/>
      <x:sz val="11"/>
      <x:color rgb="FFFFFFFF"/>
      <x:name val="Carlito"/>
    </x:font>
    <x:font>
      <x:sz val="11"/>
      <x:color rgb="FF0F172A"/>
      <x:name val="Carlito"/>
    </x:font>
    <x:font>
      <x:b/>
      <x:sz val="11"/>
      <x:color rgb="FF0F172A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1D4ED8"/>
      </x:patternFill>
    </x:fill>
    <x:fill>
      <x:patternFill patternType="solid">
        <x:fgColor rgb="FFEFF6FF"/>
      </x:patternFill>
    </x:fill>
  </x:fills>
  <x:borders count="5">
    <x:border/>
    <x:border>
      <x:left style="thin">
        <x:color rgb="FF1D4ED8"/>
      </x:left>
      <x:right style="thin">
        <x:color rgb="FF1D4ED8"/>
      </x:right>
      <x:top style="thin">
        <x:color rgb="FF1D4ED8"/>
      </x:top>
      <x:bottom style="thin">
        <x:color rgb="FF1D4ED8"/>
      </x:bottom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double">
        <x:color rgb="FF1D4ED8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200" fontId="4" fillId="2" borderId="3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4" xfId="0" applyNumberFormat="1" applyFont="1" applyFill="1" applyBorder="1" applyAlignment="1">
      <x:alignment vertical="center" wrapText="1"/>
    </x:xf>
    <x:xf numFmtId="200" fontId="4" fillId="2" borderId="2" xfId="0" applyNumberFormat="1" applyFont="1" applyFill="1" applyBorder="1" applyAlignment="1">
      <x:alignment vertical="center" wrapText="1"/>
    </x:xf>
    <x:xf numFmtId="200" fontId="5" fillId="4" borderId="4" xfId="0" applyNumberFormat="1" applyFont="1" applyFill="1" applyBorder="1" applyAlignment="1">
      <x:alignment vertical="center" wrapText="1"/>
    </x:xf>
    <x:xf numFmtId="201" fontId="4" fillId="2" borderId="2" xfId="0" applyNumberFormat="1" applyFont="1" applyFill="1" applyBorder="1" applyAlignment="1">
      <x:alignment vertical="center" wrapText="1"/>
    </x:xf>
    <x:xf numFmtId="201" fontId="4" fillId="2" borderId="3" xfId="0" applyNumberFormat="1" applyFont="1" applyFill="1" applyBorder="1" applyAlignment="1">
      <x:alignment vertical="center" wrapText="1"/>
    </x:xf>
    <x:xf numFmtId="201" fontId="5" fillId="4" borderId="4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94f8d584bd420b" /><Relationship Type="http://schemas.openxmlformats.org/officeDocument/2006/relationships/theme" Target="/xl/theme/theme1.xml" Id="R18468711f3364b7f" /><Relationship Type="http://schemas.openxmlformats.org/officeDocument/2006/relationships/sharedStrings" Target="/xl/sharedStrings.xml" Id="R55a33f3ed9604893" /><Relationship Type="http://schemas.openxmlformats.org/officeDocument/2006/relationships/worksheet" Target="/xl/worksheets/sheet1.xml" Id="Ra46e40f44c9d4823" /><Relationship Type="http://schemas.openxmlformats.org/officeDocument/2006/relationships/worksheet" Target="/xl/worksheets/sheet2.xml" Id="R86e6d322123e47e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22" hidden="0" customWidth="1"/>
    <x:col min="3" max="3" width="3" hidden="0" customWidth="1"/>
    <x:col min="4" max="4" width="19" hidden="0" customWidth="1"/>
    <x:col min="5" max="5" width="34" hidden="0" customWidth="1"/>
    <x:col min="6" max="6" width="48" hidden="0" customWidth="1"/>
  </x:cols>
  <x:sheetData>
    <x:row r="1" ht="24" hidden="0" customHeight="1">
      <x:c r="A1" s="19" t="str">
        <x:v>Cost Forecast Report</x:v>
      </x:c>
      <x:c r="B1" s="19"/>
      <x:c r="C1" s="19"/>
      <x:c r="D1" s="19"/>
      <x:c r="E1" s="19"/>
      <x:c r="F1" s="19"/>
    </x:row>
    <x:row r="2" ht="15" hidden="0" customHeight="1">
      <x:c r="A2" s="20" t="str">
        <x:v>Alpha Infrastructure Program</x:v>
      </x:c>
      <x:c r="B2" s="20"/>
      <x:c r="C2" s="20"/>
      <x:c r="D2" s="20"/>
      <x:c r="E2" s="20"/>
      <x:c r="F2" s="20"/>
    </x:row>
    <x:row r="3" ht="15" hidden="0" customHeight="1">
      <x:c r="A3" s="21"/>
      <x:c r="B3" s="21"/>
      <x:c r="C3" s="21"/>
      <x:c r="D3" s="21"/>
      <x:c r="E3" s="21"/>
      <x:c r="F3" s="21"/>
    </x:row>
    <x:row r="4" ht="15" hidden="0" customHeight="1">
      <x:c r="A4" s="10" t="str">
        <x:v>Field</x:v>
      </x:c>
      <x:c r="B4" s="10" t="str">
        <x:v>Value</x:v>
      </x:c>
      <x:c r="C4" s="21"/>
      <x:c r="D4" s="10" t="str">
        <x:v>Condition</x:v>
      </x:c>
      <x:c r="E4" s="10" t="str">
        <x:v>Rule</x:v>
      </x:c>
      <x:c r="F4" s="10" t="str">
        <x:v>Evidence note</x:v>
      </x:c>
    </x:row>
    <x:row r="5" ht="39.599998474121094" hidden="0" customHeight="1">
      <x:c r="A5" s="16" t="str">
        <x:v>Reporting period</x:v>
      </x:c>
      <x:c r="B5" s="16" t="str">
        <x:v>May 2026</x:v>
      </x:c>
      <x:c r="C5" s="21"/>
      <x:c r="D5" s="16" t="str">
        <x:v>needs attention</x:v>
      </x:c>
      <x:c r="E5" s="16" t="str">
        <x:v>Critical only when forecast variance is above 5%</x:v>
      </x:c>
      <x:c r="F5" s="16" t="str">
        <x:v>The program needs management attention. Forecast cost is 4.0 percent above baseline, Building A completion is fourteen days late, and a high-risk mitigation is seven days overdue.</x:v>
      </x:c>
    </x:row>
    <x:row r="6" ht="15" hidden="0" customHeight="1">
      <x:c r="A6" s="17" t="str">
        <x:v>Approved baseline budget</x:v>
      </x:c>
      <x:c r="B6" s="18" t="n">
        <x:v>4300000</x:v>
      </x:c>
      <x:c r="C6" s="21"/>
      <x:c r="D6" s="17" t="str">
        <x:v>Currency</x:v>
      </x:c>
      <x:c r="E6" s="17" t="str">
        <x:v>USD</x:v>
      </x:c>
      <x:c r="F6" s="17" t="str">
        <x:v>Values are forecast-at-completion evidence</x:v>
      </x:c>
    </x:row>
    <x:row r="7" ht="15" hidden="0" customHeight="1">
      <x:c r="A7" s="17" t="str">
        <x:v>Current forecast at completion</x:v>
      </x:c>
      <x:c r="B7" s="18" t="n">
        <x:v>4472000</x:v>
      </x:c>
      <x:c r="C7" s="21"/>
      <x:c r="D7" s="17" t="str">
        <x:v>Source</x:v>
      </x:c>
      <x:c r="E7" s="17" t="str">
        <x:v>Cost report</x:v>
      </x:c>
      <x:c r="F7" s="17" t="str">
        <x:v>Use with the approved baseline document</x:v>
      </x:c>
    </x:row>
    <x:row r="8" ht="15" hidden="0" customHeight="1">
      <x:c r="A8" s="17" t="str">
        <x:v>Current actual cost</x:v>
      </x:c>
      <x:c r="B8" s="18" t="n">
        <x:v>2530000</x:v>
      </x:c>
      <x:c r="C8" s="21"/>
      <x:c r="D8" s="21"/>
      <x:c r="E8" s="21"/>
      <x:c r="F8" s="21"/>
    </x:row>
    <x:row r="9" ht="15" hidden="0" customHeight="1">
      <x:c r="A9" s="17" t="str">
        <x:v>Forecast variance</x:v>
      </x:c>
      <x:c r="B9" s="18" t="n">
        <x:f>B7-B6</x:f>
        <x:v>172000</x:v>
      </x:c>
      <x:c r="C9" s="21"/>
      <x:c r="D9" s="21"/>
      <x:c r="E9" s="21"/>
      <x:c r="F9" s="21"/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7" hidden="0" customWidth="1"/>
    <x:col min="8" max="8" width="42" hidden="0" customWidth="1"/>
  </x:cols>
  <x:sheetData>
    <x:row r="1" ht="24" hidden="0" customHeight="1">
      <x:c r="A1" s="19" t="str">
        <x:v>Alpha Infrastructure Program | May 2026</x:v>
      </x:c>
      <x:c r="B1" s="19"/>
      <x:c r="C1" s="19"/>
      <x:c r="D1" s="19"/>
      <x:c r="E1" s="19"/>
      <x:c r="F1" s="19"/>
      <x:c r="G1" s="19"/>
      <x:c r="H1" s="19"/>
    </x:row>
    <x:row r="2" ht="15" hidden="0" customHeight="1">
      <x:c r="A2" s="21"/>
      <x:c r="B2" s="21"/>
      <x:c r="C2" s="21"/>
      <x:c r="D2" s="21"/>
      <x:c r="E2" s="21"/>
      <x:c r="F2" s="21"/>
      <x:c r="G2" s="21"/>
      <x:c r="H2" s="21"/>
    </x:row>
    <x:row r="3" ht="15" hidden="0" customHeight="1">
      <x:c r="A3" s="10" t="str">
        <x:v>Cost item</x:v>
      </x:c>
      <x:c r="B3" s="10" t="str">
        <x:v>Planned cost USD</x:v>
      </x:c>
      <x:c r="C3" s="10" t="str">
        <x:v>Actual cost USD</x:v>
      </x:c>
      <x:c r="D3" s="10" t="str">
        <x:v>Forecast cost USD</x:v>
      </x:c>
      <x:c r="E3" s="10" t="str">
        <x:v>Forecast variance USD</x:v>
      </x:c>
      <x:c r="F3" s="10" t="str">
        <x:v>Variance %</x:v>
      </x:c>
      <x:c r="G3" s="10" t="str">
        <x:v>Status</x:v>
      </x:c>
      <x:c r="H3" s="10" t="str">
        <x:v>Evidence note</x:v>
      </x:c>
    </x:row>
    <x:row r="4" ht="15" hidden="0" customHeight="1">
      <x:c r="A4" s="16" t="str">
        <x:v>Energy audit and design</x:v>
      </x:c>
      <x:c r="B4" s="25" t="n">
        <x:v>520000</x:v>
      </x:c>
      <x:c r="C4" s="25" t="n">
        <x:v>510000</x:v>
      </x:c>
      <x:c r="D4" s="25" t="n">
        <x:v>540000</x:v>
      </x:c>
      <x:c r="E4" s="25" t="n">
        <x:f>D4-B4</x:f>
        <x:v>20000</x:v>
      </x:c>
      <x:c r="F4" s="27" t="n">
        <x:f>IF(B4=0,0,E4/B4)</x:f>
        <x:v>0.038461538461538464</x:v>
      </x:c>
      <x:c r="G4" s="16" t="str">
        <x:v>Monitor</x:v>
      </x:c>
      <x:c r="H4" s="16" t="str">
        <x:v>Minor consulting extension</x:v>
      </x:c>
    </x:row>
    <x:row r="5" ht="15" hidden="0" customHeight="1">
      <x:c r="A5" s="17" t="str">
        <x:v>Smart meter procurement</x:v>
      </x:c>
      <x:c r="B5" s="18" t="n">
        <x:v>1850000</x:v>
      </x:c>
      <x:c r="C5" s="18" t="n">
        <x:v>1320000</x:v>
      </x:c>
      <x:c r="D5" s="18" t="n">
        <x:v>1880000</x:v>
      </x:c>
      <x:c r="E5" s="18" t="n">
        <x:f>D5-B5</x:f>
        <x:v>30000</x:v>
      </x:c>
      <x:c r="F5" s="28" t="n">
        <x:f>IF(B5=0,0,E5/B5)</x:f>
        <x:v>0.016216216216216217</x:v>
      </x:c>
      <x:c r="G5" s="17" t="str">
        <x:v>Monitor</x:v>
      </x:c>
      <x:c r="H5" s="17" t="str">
        <x:v>Supplier price adjustment</x:v>
      </x:c>
    </x:row>
    <x:row r="6" ht="15" hidden="0" customHeight="1">
      <x:c r="A6" s="17" t="str">
        <x:v>Installation works</x:v>
      </x:c>
      <x:c r="B6" s="18" t="n">
        <x:v>1400000</x:v>
      </x:c>
      <x:c r="C6" s="18" t="n">
        <x:v>610000</x:v>
      </x:c>
      <x:c r="D6" s="18" t="n">
        <x:v>1490000</x:v>
      </x:c>
      <x:c r="E6" s="18" t="n">
        <x:f>D6-B6</x:f>
        <x:v>90000</x:v>
      </x:c>
      <x:c r="F6" s="28" t="n">
        <x:f>IF(B6=0,0,E6/B6)</x:f>
        <x:v>0.06428571428571428</x:v>
      </x:c>
      <x:c r="G6" s="17" t="str">
        <x:v>At Risk</x:v>
      </x:c>
      <x:c r="H6" s="17" t="str">
        <x:v>Weekend recovery work is included</x:v>
      </x:c>
    </x:row>
    <x:row r="7" ht="15" hidden="0" customHeight="1">
      <x:c r="A7" s="17" t="str">
        <x:v>Dashboard integration</x:v>
      </x:c>
      <x:c r="B7" s="18" t="n">
        <x:v>380000</x:v>
      </x:c>
      <x:c r="C7" s="18" t="n">
        <x:v>90000</x:v>
      </x:c>
      <x:c r="D7" s="18" t="n">
        <x:v>392000</x:v>
      </x:c>
      <x:c r="E7" s="18" t="n">
        <x:f>D7-B7</x:f>
        <x:v>12000</x:v>
      </x:c>
      <x:c r="F7" s="28" t="n">
        <x:f>IF(B7=0,0,E7/B7)</x:f>
        <x:v>0.031578947368421054</x:v>
      </x:c>
      <x:c r="G7" s="17" t="str">
        <x:v>Normal</x:v>
      </x:c>
      <x:c r="H7" s="17" t="str">
        <x:v>No material variance</x:v>
      </x:c>
    </x:row>
    <x:row r="8" ht="15" hidden="0" customHeight="1">
      <x:c r="A8" s="17" t="str">
        <x:v>Contingency</x:v>
      </x:c>
      <x:c r="B8" s="18" t="n">
        <x:v>150000</x:v>
      </x:c>
      <x:c r="C8" s="18" t="n">
        <x:v>0</x:v>
      </x:c>
      <x:c r="D8" s="18" t="n">
        <x:v>170000</x:v>
      </x:c>
      <x:c r="E8" s="18" t="n">
        <x:f>D8-B8</x:f>
        <x:v>20000</x:v>
      </x:c>
      <x:c r="F8" s="28" t="n">
        <x:f>IF(B8=0,0,E8/B8)</x:f>
        <x:v>0.13333333333333333</x:v>
      </x:c>
      <x:c r="G8" s="17" t="str">
        <x:v>At Risk</x:v>
      </x:c>
      <x:c r="H8" s="17" t="str">
        <x:v>Contingency pressure requires monitoring</x:v>
      </x:c>
    </x:row>
    <x:row r="9" ht="15" hidden="0" customHeight="1">
      <x:c r="A9" s="24" t="str">
        <x:v>Total</x:v>
      </x:c>
      <x:c r="B9" s="26" t="n">
        <x:f>SUM(B4:B8)</x:f>
        <x:v>4300000</x:v>
      </x:c>
      <x:c r="C9" s="26" t="n">
        <x:f>SUM(C4:C8)</x:f>
        <x:v>2530000</x:v>
      </x:c>
      <x:c r="D9" s="26" t="n">
        <x:f>SUM(D4:D8)</x:f>
        <x:v>4472000</x:v>
      </x:c>
      <x:c r="E9" s="26" t="n">
        <x:f>SUM(E4:E8)</x:f>
        <x:v>172000</x:v>
      </x:c>
      <x:c r="F9" s="29" t="n">
        <x:f>IF(B9=0,0,E9/B9)</x:f>
        <x:v>0.04</x:v>
      </x:c>
      <x:c r="G9" s="24" t="str"/>
      <x:c r="H9" s="24" t="str"/>
    </x:row>
  </x:sheetData>
  <x:mergeCells>
    <x:mergeCell ref="A1:H1"/>
  </x:mergeCells>
  <x:pageMargins left="0.7" right="0.7" top="0.75" bottom="0.75" header="0.3" footer="0.3"/>
</x:worksheet>
</file>