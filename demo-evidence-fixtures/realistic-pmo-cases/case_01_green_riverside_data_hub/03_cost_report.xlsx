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5735c61ff2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t Summary" sheetId="1" r:id="R2f3c72a9500946d0"/>
    <x:sheet xmlns:r="http://schemas.openxmlformats.org/officeDocument/2006/relationships" name="Cost Details" sheetId="2" r:id="R86d5d633e754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;[Red](&quot;$&quot;#,##0);-"/>
    <x:numFmt numFmtId="201" formatCode="0.0%"/>
  </x:numFmts>
  <x:fonts count="6">
    <x:font>
      <x:sz val="11"/>
      <x:name val="Carlito"/>
    </x:font>
    <x:font>
      <x:b/>
      <x:sz val="20"/>
      <x:color rgb="FF0F172A"/>
      <x:name val="Carlito"/>
    </x:font>
    <x:font>
      <x:b/>
      <x:sz val="12"/>
      <x:color rgb="FF1D4ED8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</x:fills>
  <x:borders count="5">
    <x:border/>
    <x:border>
      <x:left style="thin">
        <x:color rgb="FF1D4ED8"/>
      </x:left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double">
        <x:color rgb="FF1D4ED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4" xfId="0" applyNumberFormat="1" applyFont="1" applyFill="1" applyBorder="1" applyAlignment="1">
      <x:alignment vertical="center" wrapText="1"/>
    </x:xf>
    <x:xf numFmtId="200" fontId="4" fillId="2" borderId="2" xfId="0" applyNumberFormat="1" applyFont="1" applyFill="1" applyBorder="1" applyAlignment="1">
      <x:alignment vertical="center" wrapText="1"/>
    </x:xf>
    <x:xf numFmtId="200" fontId="5" fillId="4" borderId="4" xfId="0" applyNumberFormat="1" applyFont="1" applyFill="1" applyBorder="1" applyAlignment="1">
      <x:alignment vertical="center" wrapText="1"/>
    </x:xf>
    <x:xf numFmtId="201" fontId="4" fillId="2" borderId="2" xfId="0" applyNumberFormat="1" applyFont="1" applyFill="1" applyBorder="1" applyAlignment="1">
      <x:alignment vertical="center" wrapText="1"/>
    </x:xf>
    <x:xf numFmtId="201" fontId="4" fillId="2" borderId="3" xfId="0" applyNumberFormat="1" applyFont="1" applyFill="1" applyBorder="1" applyAlignment="1">
      <x:alignment vertical="center" wrapText="1"/>
    </x:xf>
    <x:xf numFmtId="201" fontId="5" fillId="4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c7ee947bf4c96" /><Relationship Type="http://schemas.openxmlformats.org/officeDocument/2006/relationships/theme" Target="/xl/theme/theme1.xml" Id="R050eb3e7ac624c23" /><Relationship Type="http://schemas.openxmlformats.org/officeDocument/2006/relationships/sharedStrings" Target="/xl/sharedStrings.xml" Id="R9171f979354e4322" /><Relationship Type="http://schemas.openxmlformats.org/officeDocument/2006/relationships/worksheet" Target="/xl/worksheets/sheet1.xml" Id="R2f3c72a9500946d0" /><Relationship Type="http://schemas.openxmlformats.org/officeDocument/2006/relationships/worksheet" Target="/xl/worksheets/sheet2.xml" Id="R86d5d633e754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3" hidden="0" customWidth="1"/>
    <x:col min="4" max="4" width="19" hidden="0" customWidth="1"/>
    <x:col min="5" max="5" width="34" hidden="0" customWidth="1"/>
    <x:col min="6" max="6" width="48" hidden="0" customWidth="1"/>
  </x:cols>
  <x:sheetData>
    <x:row r="1" ht="24" hidden="0" customHeight="1">
      <x:c r="A1" s="19" t="str">
        <x:v>Cost Forecast Report</x:v>
      </x:c>
      <x:c r="B1" s="19"/>
      <x:c r="C1" s="19"/>
      <x:c r="D1" s="19"/>
      <x:c r="E1" s="19"/>
      <x:c r="F1" s="19"/>
    </x:row>
    <x:row r="2" ht="15" hidden="0" customHeight="1">
      <x:c r="A2" s="20" t="str">
        <x:v>Riverside Data Hub</x:v>
      </x:c>
      <x:c r="B2" s="20"/>
      <x:c r="C2" s="20"/>
      <x:c r="D2" s="20"/>
      <x:c r="E2" s="20"/>
      <x:c r="F2" s="20"/>
    </x:row>
    <x:row r="3" ht="15" hidden="0" customHeight="1">
      <x:c r="A3" s="21"/>
      <x:c r="B3" s="21"/>
      <x:c r="C3" s="21"/>
      <x:c r="D3" s="21"/>
      <x:c r="E3" s="21"/>
      <x:c r="F3" s="21"/>
    </x:row>
    <x:row r="4" ht="15" hidden="0" customHeight="1">
      <x:c r="A4" s="10" t="str">
        <x:v>Field</x:v>
      </x:c>
      <x:c r="B4" s="10" t="str">
        <x:v>Value</x:v>
      </x:c>
      <x:c r="C4" s="21"/>
      <x:c r="D4" s="10" t="str">
        <x:v>Condition</x:v>
      </x:c>
      <x:c r="E4" s="10" t="str">
        <x:v>Rule</x:v>
      </x:c>
      <x:c r="F4" s="10" t="str">
        <x:v>Evidence note</x:v>
      </x:c>
    </x:row>
    <x:row r="5" ht="39.599998474121094" hidden="0" customHeight="1">
      <x:c r="A5" s="16" t="str">
        <x:v>Reporting period</x:v>
      </x:c>
      <x:c r="B5" s="16" t="str">
        <x:v>March 2026</x:v>
      </x:c>
      <x:c r="C5" s="21"/>
      <x:c r="D5" s="16" t="str">
        <x:v>on track</x:v>
      </x:c>
      <x:c r="E5" s="16" t="str">
        <x:v>Critical only when forecast variance is above 5%</x:v>
      </x:c>
      <x:c r="F5" s="16" t="str">
        <x:v>API integration completed ahead of its checkpoint. Forecast cost remains below baseline, operational readiness remains on plan, and no uncontrolled high or critical risk is open.</x:v>
      </x:c>
    </x:row>
    <x:row r="6" ht="15" hidden="0" customHeight="1">
      <x:c r="A6" s="17" t="str">
        <x:v>Approved baseline budget</x:v>
      </x:c>
      <x:c r="B6" s="18" t="n">
        <x:v>500000</x:v>
      </x:c>
      <x:c r="C6" s="21"/>
      <x:c r="D6" s="17" t="str">
        <x:v>Currency</x:v>
      </x:c>
      <x:c r="E6" s="17" t="str">
        <x:v>USD</x:v>
      </x:c>
      <x:c r="F6" s="17" t="str">
        <x:v>Values are forecast-at-completion evidence</x:v>
      </x:c>
    </x:row>
    <x:row r="7" ht="15" hidden="0" customHeight="1">
      <x:c r="A7" s="17" t="str">
        <x:v>Current forecast at completion</x:v>
      </x:c>
      <x:c r="B7" s="18" t="n">
        <x:v>487000</x:v>
      </x:c>
      <x:c r="C7" s="21"/>
      <x:c r="D7" s="17" t="str">
        <x:v>Source</x:v>
      </x:c>
      <x:c r="E7" s="17" t="str">
        <x:v>Cost report</x:v>
      </x:c>
      <x:c r="F7" s="17" t="str">
        <x:v>Use with the approved baseline document</x:v>
      </x:c>
    </x:row>
    <x:row r="8" ht="15" hidden="0" customHeight="1">
      <x:c r="A8" s="17" t="str">
        <x:v>Current actual cost</x:v>
      </x:c>
      <x:c r="B8" s="18" t="n">
        <x:v>368000</x:v>
      </x:c>
      <x:c r="C8" s="21"/>
      <x:c r="D8" s="21"/>
      <x:c r="E8" s="21"/>
      <x:c r="F8" s="21"/>
    </x:row>
    <x:row r="9" ht="15" hidden="0" customHeight="1">
      <x:c r="A9" s="17" t="str">
        <x:v>Forecast variance</x:v>
      </x:c>
      <x:c r="B9" s="18" t="n">
        <x:f>B7-B6</x:f>
        <x:v>-13000</x:v>
      </x:c>
      <x:c r="C9" s="21"/>
      <x:c r="D9" s="21"/>
      <x:c r="E9" s="21"/>
      <x:c r="F9" s="21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7" hidden="0" customWidth="1"/>
    <x:col min="8" max="8" width="42" hidden="0" customWidth="1"/>
  </x:cols>
  <x:sheetData>
    <x:row r="1" ht="24" hidden="0" customHeight="1">
      <x:c r="A1" s="19" t="str">
        <x:v>Riverside Data Hub | March 2026</x:v>
      </x:c>
      <x:c r="B1" s="19"/>
      <x:c r="C1" s="19"/>
      <x:c r="D1" s="19"/>
      <x:c r="E1" s="19"/>
      <x:c r="F1" s="19"/>
      <x:c r="G1" s="19"/>
      <x:c r="H1" s="19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</x:row>
    <x:row r="3" ht="15" hidden="0" customHeight="1">
      <x:c r="A3" s="10" t="str">
        <x:v>Cost item</x:v>
      </x:c>
      <x:c r="B3" s="10" t="str">
        <x:v>Planned cost USD</x:v>
      </x:c>
      <x:c r="C3" s="10" t="str">
        <x:v>Actual cost USD</x:v>
      </x:c>
      <x:c r="D3" s="10" t="str">
        <x:v>Forecast cost USD</x:v>
      </x:c>
      <x:c r="E3" s="10" t="str">
        <x:v>Forecast variance USD</x:v>
      </x:c>
      <x:c r="F3" s="10" t="str">
        <x:v>Variance %</x:v>
      </x:c>
      <x:c r="G3" s="10" t="str">
        <x:v>Status</x:v>
      </x:c>
      <x:c r="H3" s="10" t="str">
        <x:v>Evidence note</x:v>
      </x:c>
    </x:row>
    <x:row r="4" ht="15" hidden="0" customHeight="1">
      <x:c r="A4" s="16" t="str">
        <x:v>Requirements and design</x:v>
      </x:c>
      <x:c r="B4" s="25" t="n">
        <x:v>90000</x:v>
      </x:c>
      <x:c r="C4" s="25" t="n">
        <x:v>85000</x:v>
      </x:c>
      <x:c r="D4" s="25" t="n">
        <x:v>88000</x:v>
      </x:c>
      <x:c r="E4" s="25" t="n">
        <x:f>D4-B4</x:f>
        <x:v>-2000</x:v>
      </x:c>
      <x:c r="F4" s="27" t="n">
        <x:f>IF(B4=0,0,E4/B4)</x:f>
        <x:v>-0.022222222222222223</x:v>
      </x:c>
      <x:c r="G4" s="16" t="str">
        <x:v>Normal</x:v>
      </x:c>
      <x:c r="H4" s="16" t="str">
        <x:v>Design effort closed below estimate</x:v>
      </x:c>
    </x:row>
    <x:row r="5" ht="15" hidden="0" customHeight="1">
      <x:c r="A5" s="17" t="str">
        <x:v>Data ingestion build</x:v>
      </x:c>
      <x:c r="B5" s="18" t="n">
        <x:v>145000</x:v>
      </x:c>
      <x:c r="C5" s="18" t="n">
        <x:v>136000</x:v>
      </x:c>
      <x:c r="D5" s="18" t="n">
        <x:v>141000</x:v>
      </x:c>
      <x:c r="E5" s="18" t="n">
        <x:f>D5-B5</x:f>
        <x:v>-4000</x:v>
      </x:c>
      <x:c r="F5" s="28" t="n">
        <x:f>IF(B5=0,0,E5/B5)</x:f>
        <x:v>-0.027586206896551724</x:v>
      </x:c>
      <x:c r="G5" s="17" t="str">
        <x:v>Normal</x:v>
      </x:c>
      <x:c r="H5" s="17" t="str">
        <x:v>No material variance</x:v>
      </x:c>
    </x:row>
    <x:row r="6" ht="15" hidden="0" customHeight="1">
      <x:c r="A6" s="17" t="str">
        <x:v>API integration</x:v>
      </x:c>
      <x:c r="B6" s="18" t="n">
        <x:v>120000</x:v>
      </x:c>
      <x:c r="C6" s="18" t="n">
        <x:v>105000</x:v>
      </x:c>
      <x:c r="D6" s="18" t="n">
        <x:v>118000</x:v>
      </x:c>
      <x:c r="E6" s="18" t="n">
        <x:f>D6-B6</x:f>
        <x:v>-2000</x:v>
      </x:c>
      <x:c r="F6" s="28" t="n">
        <x:f>IF(B6=0,0,E6/B6)</x:f>
        <x:v>-0.016666666666666666</x:v>
      </x:c>
      <x:c r="G6" s="17" t="str">
        <x:v>Normal</x:v>
      </x:c>
      <x:c r="H6" s="17" t="str">
        <x:v>Vendor API testing completed</x:v>
      </x:c>
    </x:row>
    <x:row r="7" ht="15" hidden="0" customHeight="1">
      <x:c r="A7" s="17" t="str">
        <x:v>Operational readiness</x:v>
      </x:c>
      <x:c r="B7" s="18" t="n">
        <x:v>95000</x:v>
      </x:c>
      <x:c r="C7" s="18" t="n">
        <x:v>42000</x:v>
      </x:c>
      <x:c r="D7" s="18" t="n">
        <x:v>91000</x:v>
      </x:c>
      <x:c r="E7" s="18" t="n">
        <x:f>D7-B7</x:f>
        <x:v>-4000</x:v>
      </x:c>
      <x:c r="F7" s="28" t="n">
        <x:f>IF(B7=0,0,E7/B7)</x:f>
        <x:v>-0.042105263157894736</x:v>
      </x:c>
      <x:c r="G7" s="17" t="str">
        <x:v>Monitor</x:v>
      </x:c>
      <x:c r="H7" s="17" t="str">
        <x:v>Training sessions remain scheduled</x:v>
      </x:c>
    </x:row>
    <x:row r="8" ht="15" hidden="0" customHeight="1">
      <x:c r="A8" s="17" t="str">
        <x:v>Contingency</x:v>
      </x:c>
      <x:c r="B8" s="18" t="n">
        <x:v>50000</x:v>
      </x:c>
      <x:c r="C8" s="18" t="n">
        <x:v>0</x:v>
      </x:c>
      <x:c r="D8" s="18" t="n">
        <x:v>49000</x:v>
      </x:c>
      <x:c r="E8" s="18" t="n">
        <x:f>D8-B8</x:f>
        <x:v>-1000</x:v>
      </x:c>
      <x:c r="F8" s="28" t="n">
        <x:f>IF(B8=0,0,E8/B8)</x:f>
        <x:v>-0.02</x:v>
      </x:c>
      <x:c r="G8" s="17" t="str">
        <x:v>Normal</x:v>
      </x:c>
      <x:c r="H8" s="17" t="str">
        <x:v>Contingency remains available</x:v>
      </x:c>
    </x:row>
    <x:row r="9" ht="15" hidden="0" customHeight="1">
      <x:c r="A9" s="24" t="str">
        <x:v>Total</x:v>
      </x:c>
      <x:c r="B9" s="26" t="n">
        <x:f>SUM(B4:B8)</x:f>
        <x:v>500000</x:v>
      </x:c>
      <x:c r="C9" s="26" t="n">
        <x:f>SUM(C4:C8)</x:f>
        <x:v>368000</x:v>
      </x:c>
      <x:c r="D9" s="26" t="n">
        <x:f>SUM(D4:D8)</x:f>
        <x:v>487000</x:v>
      </x:c>
      <x:c r="E9" s="26" t="n">
        <x:f>SUM(E4:E8)</x:f>
        <x:v>-13000</x:v>
      </x:c>
      <x:c r="F9" s="29" t="n">
        <x:f>IF(B9=0,0,E9/B9)</x:f>
        <x:v>-0.026</x:v>
      </x:c>
      <x:c r="G9" s="24" t="str"/>
      <x:c r="H9" s="24" t="str"/>
    </x:row>
  </x:sheetData>
  <x:mergeCells>
    <x:mergeCell ref="A1:H1"/>
  </x:mergeCells>
  <x:pageMargins left="0.7" right="0.7" top="0.75" bottom="0.75" header="0.3" footer="0.3"/>
</x:worksheet>
</file>